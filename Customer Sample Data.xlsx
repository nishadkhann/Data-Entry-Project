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294" documentId="11_E60897F41BE170836B02CE998F75CCDC64E183C8" xr6:coauthVersionLast="47" xr6:coauthVersionMax="47" xr10:uidLastSave="{B2A75F6F-6E70-4AA8-982A-DEACC1FE2EA8}"/>
  <bookViews>
    <workbookView xWindow="240" yWindow="105" windowWidth="14805" windowHeight="8010" firstSheet="1" xr2:uid="{00000000-000D-0000-FFFF-FFFF00000000}"/>
  </bookViews>
  <sheets>
    <sheet name="Customer data" sheetId="2" r:id="rId1"/>
    <sheet name="Customer Summary" sheetId="3" r:id="rId2"/>
  </sheets>
  <externalReferences>
    <externalReference r:id="rId3"/>
  </externalReferences>
  <definedNames>
    <definedName name="_xlnm._FilterDatabase" localSheetId="0" hidden="1">'Customer data'!$A$2:$H$13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3" l="1"/>
  <c r="C6" i="3"/>
  <c r="C5" i="3"/>
  <c r="C4" i="3"/>
</calcChain>
</file>

<file path=xl/sharedStrings.xml><?xml version="1.0" encoding="utf-8"?>
<sst xmlns="http://schemas.openxmlformats.org/spreadsheetml/2006/main" count="61" uniqueCount="43">
  <si>
    <t>Customer Database__Excel Data Entry Sample</t>
  </si>
  <si>
    <t>Customer Name</t>
  </si>
  <si>
    <t>Email</t>
  </si>
  <si>
    <t>Phone</t>
  </si>
  <si>
    <t>City</t>
  </si>
  <si>
    <t>Age</t>
  </si>
  <si>
    <t>Order Amount</t>
  </si>
  <si>
    <t>Order Date</t>
  </si>
  <si>
    <t>Status</t>
  </si>
  <si>
    <t>Meera Patel</t>
  </si>
  <si>
    <t>meera@email.com</t>
  </si>
  <si>
    <t>Ahmedabad</t>
  </si>
  <si>
    <t>Completed</t>
  </si>
  <si>
    <t>Sara Ali</t>
  </si>
  <si>
    <t>sara@email.com</t>
  </si>
  <si>
    <t>Vadodara</t>
  </si>
  <si>
    <t>Fatima Sheikh</t>
  </si>
  <si>
    <t>fatima@email.com</t>
  </si>
  <si>
    <t>Aisha Khan</t>
  </si>
  <si>
    <t>aisha@email.com</t>
  </si>
  <si>
    <t>Surat</t>
  </si>
  <si>
    <t>Neha Joshi</t>
  </si>
  <si>
    <t>neha@email.com</t>
  </si>
  <si>
    <t>Pune</t>
  </si>
  <si>
    <t>Arjun Mehta</t>
  </si>
  <si>
    <t>arjun@email.com</t>
  </si>
  <si>
    <t>Cancelled</t>
  </si>
  <si>
    <t>Rahul Shah</t>
  </si>
  <si>
    <t>rahul@email.com</t>
  </si>
  <si>
    <t>Mumbai</t>
  </si>
  <si>
    <t>Pending</t>
  </si>
  <si>
    <t>Kabir Shah</t>
  </si>
  <si>
    <t>kabir@email.com</t>
  </si>
  <si>
    <t>Rohan Desai</t>
  </si>
  <si>
    <t>rohan@email.com</t>
  </si>
  <si>
    <t>Customer Data Summary</t>
  </si>
  <si>
    <t xml:space="preserve">Metric </t>
  </si>
  <si>
    <t>Result</t>
  </si>
  <si>
    <t>Total Customers</t>
  </si>
  <si>
    <t>Total Order Value</t>
  </si>
  <si>
    <t>Completed Orders</t>
  </si>
  <si>
    <t>Pending Orders</t>
  </si>
  <si>
    <t xml:space="preserve">Cancelled Orders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</si>
</sst>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"/>
    <numFmt numFmtId="165" formatCode="mm/dd/yy;@"/>
  </numFmts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5" tint="-0.249977111117893"/>
      <name val="Calibri"/>
      <scheme val="minor"/>
    </font>
    <font>
      <sz val="11"/>
      <color theme="5" tint="-0.249977111117893"/>
      <name val="Calibri"/>
      <family val="2"/>
      <scheme val="minor"/>
    </font>
    <font>
      <sz val="16"/>
      <color rgb="FFC65911"/>
      <name val="Calibri"/>
      <scheme val="minor"/>
    </font>
    <font>
      <i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0" fillId="0" borderId="0" xfId="0" applyNumberFormat="1"/>
    <xf numFmtId="0" fontId="5" fillId="5" borderId="0" xfId="0" applyFont="1" applyFill="1"/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11">
    <dxf>
      <fill>
        <patternFill patternType="solid">
          <fgColor indexed="64"/>
          <bgColor theme="6" tint="0.79998168889431442"/>
        </patternFill>
      </fill>
    </dxf>
    <dxf>
      <numFmt numFmtId="165" formatCode="mm/dd/yy;@"/>
      <fill>
        <patternFill patternType="solid">
          <fgColor indexed="64"/>
          <bgColor theme="6" tint="0.79998168889431442"/>
        </patternFill>
      </fill>
    </dxf>
    <dxf>
      <numFmt numFmtId="164" formatCode="[$₹-4009]\ #,##0"/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Status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Summary'!$A$3:$A$7</c:f>
              <c:strCache>
                <c:ptCount val="5"/>
                <c:pt idx="0">
                  <c:v>Total Customers</c:v>
                </c:pt>
                <c:pt idx="1">
                  <c:v>Total Order Value</c:v>
                </c:pt>
                <c:pt idx="2">
                  <c:v>Completed Orders</c:v>
                </c:pt>
                <c:pt idx="3">
                  <c:v>Pending Orders</c:v>
                </c:pt>
                <c:pt idx="4">
                  <c:v>Cancelled Orders </c:v>
                </c:pt>
              </c:strCache>
            </c:strRef>
          </c:cat>
          <c:val>
            <c:numRef>
              <c:f>'Customer Summary'!$B$3:$B$7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3520-4B74-9063-52823C3A684E}"/>
            </c:ext>
          </c:extLst>
        </c:ser>
        <c:ser>
          <c:idx val="1"/>
          <c:order val="1"/>
          <c:tx>
            <c:strRef>
              <c:f>'Customer Summary'!$C$2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Summary'!$A$3:$A$7</c:f>
              <c:strCache>
                <c:ptCount val="5"/>
                <c:pt idx="0">
                  <c:v>Total Customers</c:v>
                </c:pt>
                <c:pt idx="1">
                  <c:v>Total Order Value</c:v>
                </c:pt>
                <c:pt idx="2">
                  <c:v>Completed Orders</c:v>
                </c:pt>
                <c:pt idx="3">
                  <c:v>Pending Orders</c:v>
                </c:pt>
                <c:pt idx="4">
                  <c:v>Cancelled Orders </c:v>
                </c:pt>
              </c:strCache>
            </c:strRef>
          </c:cat>
          <c:val>
            <c:numRef>
              <c:f>'Customer Summary'!$C$3:$C$7</c:f>
              <c:numCache>
                <c:formatCode>[$₹-4009]\ #,##0</c:formatCode>
                <c:ptCount val="5"/>
                <c:pt idx="0" formatCode="General">
                  <c:v>11</c:v>
                </c:pt>
                <c:pt idx="1">
                  <c:v>19235.454545454551</c:v>
                </c:pt>
                <c:pt idx="2" formatCode="General">
                  <c:v>6</c:v>
                </c:pt>
                <c:pt idx="3" formatCode="General">
                  <c:v>4</c:v>
                </c:pt>
                <c:pt idx="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20-4B74-9063-52823C3A68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260359"/>
        <c:axId val="4262407"/>
      </c:barChart>
      <c:catAx>
        <c:axId val="4260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rgbClr val="70AD4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407"/>
        <c:auto val="1"/>
        <c:lblAlgn val="ctr"/>
        <c:lblOffset val="100"/>
        <c:noMultiLvlLbl val="0"/>
      </c:catAx>
      <c:valAx>
        <c:axId val="4262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B4C6E7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359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38100</xdr:rowOff>
    </xdr:from>
    <xdr:to>
      <xdr:col>11</xdr:col>
      <xdr:colOff>533400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BDBE55-ECE5-D331-28B1-419A3D34E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CE1CA-604C-497E-86DC-0EDAA27333F7}" name="Table1" displayName="Table1" ref="A2:H13" totalsRowShown="0" headerRowDxfId="9" dataDxfId="8">
  <autoFilter ref="A2:H13" xr:uid="{B0D7E68B-BF6D-468F-A690-3498409D5C17}"/>
  <tableColumns count="8">
    <tableColumn id="1" xr3:uid="{6198F379-F729-451B-A749-3C6066102841}" name="Customer Name" dataDxfId="7"/>
    <tableColumn id="2" xr3:uid="{6AE4E230-8553-4405-87E1-8EE0D5CF851D}" name="Email" dataDxfId="6"/>
    <tableColumn id="3" xr3:uid="{3C363998-2188-4041-8858-1281B351E789}" name="Phone" dataDxfId="5"/>
    <tableColumn id="4" xr3:uid="{B38BFC38-42D5-4D9E-975C-F929DB846B7B}" name="City" dataDxfId="4"/>
    <tableColumn id="5" xr3:uid="{EC546F71-B24D-4468-B95D-AE5843E4B550}" name="Age" dataDxfId="3"/>
    <tableColumn id="6" xr3:uid="{C3119F03-037B-4939-BBA7-319FE3A0BB37}" name="Order Amount" dataDxfId="2"/>
    <tableColumn id="7" xr3:uid="{24E2FAE1-AE35-4F29-9CEA-D77E6F888623}" name="Order Date" dataDxfId="1"/>
    <tableColumn id="8" xr3:uid="{9C580842-5582-44A4-8AD5-2D87969F0A65}" name="Status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E68B-BF6D-468F-A690-3498409D5C17}">
  <dimension ref="A1:H13"/>
  <sheetViews>
    <sheetView tabSelected="1" workbookViewId="0">
      <selection activeCell="K17" sqref="K17"/>
    </sheetView>
  </sheetViews>
  <sheetFormatPr defaultRowHeight="15"/>
  <cols>
    <col min="1" max="1" width="18.85546875" customWidth="1"/>
    <col min="2" max="2" width="18.5703125" customWidth="1"/>
    <col min="3" max="3" width="14.28515625" customWidth="1"/>
    <col min="4" max="4" width="12.5703125" customWidth="1"/>
    <col min="5" max="5" width="9.85546875" customWidth="1"/>
    <col min="6" max="6" width="17.28515625" customWidth="1"/>
    <col min="7" max="7" width="14" customWidth="1"/>
    <col min="8" max="8" width="11.42578125" customWidth="1"/>
  </cols>
  <sheetData>
    <row r="1" spans="1:8" ht="21">
      <c r="A1" s="8" t="s">
        <v>0</v>
      </c>
      <c r="B1" s="9"/>
      <c r="C1" s="9"/>
      <c r="D1" s="9"/>
      <c r="E1" s="9"/>
      <c r="F1" s="9"/>
      <c r="G1" s="9"/>
      <c r="H1" s="9"/>
    </row>
    <row r="2" spans="1:8" ht="15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 t="s">
        <v>9</v>
      </c>
      <c r="B3" s="2" t="s">
        <v>10</v>
      </c>
      <c r="C3" s="2">
        <v>9876543212</v>
      </c>
      <c r="D3" s="2" t="s">
        <v>11</v>
      </c>
      <c r="E3" s="2">
        <v>26</v>
      </c>
      <c r="F3" s="3">
        <v>850</v>
      </c>
      <c r="G3" s="4">
        <v>46211</v>
      </c>
      <c r="H3" s="2" t="s">
        <v>12</v>
      </c>
    </row>
    <row r="4" spans="1:8">
      <c r="A4" s="2" t="s">
        <v>13</v>
      </c>
      <c r="B4" s="2" t="s">
        <v>14</v>
      </c>
      <c r="C4" s="2">
        <v>9876543214</v>
      </c>
      <c r="D4" s="2" t="s">
        <v>15</v>
      </c>
      <c r="E4" s="2">
        <v>23</v>
      </c>
      <c r="F4" s="3">
        <v>950</v>
      </c>
      <c r="G4" s="4">
        <v>46242</v>
      </c>
      <c r="H4" s="2" t="s">
        <v>12</v>
      </c>
    </row>
    <row r="5" spans="1:8">
      <c r="A5" s="2" t="s">
        <v>16</v>
      </c>
      <c r="B5" s="2" t="s">
        <v>17</v>
      </c>
      <c r="C5" s="2">
        <v>9876543218</v>
      </c>
      <c r="D5" s="2" t="s">
        <v>11</v>
      </c>
      <c r="E5" s="2">
        <v>25</v>
      </c>
      <c r="F5" s="3">
        <v>1100</v>
      </c>
      <c r="G5" s="4">
        <v>46273</v>
      </c>
      <c r="H5" s="2" t="s">
        <v>12</v>
      </c>
    </row>
    <row r="6" spans="1:8">
      <c r="A6" s="2" t="s">
        <v>18</v>
      </c>
      <c r="B6" s="2" t="s">
        <v>19</v>
      </c>
      <c r="C6" s="2">
        <v>9876543210</v>
      </c>
      <c r="D6" s="2" t="s">
        <v>20</v>
      </c>
      <c r="E6" s="2">
        <v>24</v>
      </c>
      <c r="F6" s="3">
        <v>1250</v>
      </c>
      <c r="G6" s="4">
        <v>46150</v>
      </c>
      <c r="H6" s="2" t="s">
        <v>12</v>
      </c>
    </row>
    <row r="7" spans="1:8">
      <c r="A7" s="2" t="s">
        <v>21</v>
      </c>
      <c r="B7" s="2" t="s">
        <v>22</v>
      </c>
      <c r="C7" s="2">
        <v>9876543216</v>
      </c>
      <c r="D7" s="2" t="s">
        <v>23</v>
      </c>
      <c r="E7" s="2">
        <v>27</v>
      </c>
      <c r="F7" s="3">
        <v>1450</v>
      </c>
      <c r="G7" s="4">
        <v>46181</v>
      </c>
      <c r="H7" s="2" t="s">
        <v>12</v>
      </c>
    </row>
    <row r="8" spans="1:8">
      <c r="A8" s="2" t="s">
        <v>24</v>
      </c>
      <c r="B8" s="2" t="s">
        <v>25</v>
      </c>
      <c r="C8" s="2">
        <v>9876543213</v>
      </c>
      <c r="D8" s="2" t="s">
        <v>20</v>
      </c>
      <c r="E8" s="2">
        <v>31</v>
      </c>
      <c r="F8" s="3">
        <v>1750</v>
      </c>
      <c r="G8" s="4">
        <v>46061</v>
      </c>
      <c r="H8" s="2" t="s">
        <v>26</v>
      </c>
    </row>
    <row r="9" spans="1:8">
      <c r="A9" s="2" t="s">
        <v>18</v>
      </c>
      <c r="B9" s="2" t="s">
        <v>19</v>
      </c>
      <c r="C9" s="2">
        <v>9876543217.7999992</v>
      </c>
      <c r="D9" s="2" t="s">
        <v>20</v>
      </c>
      <c r="E9" s="2">
        <v>26</v>
      </c>
      <c r="F9" s="3">
        <v>1896.6666666666699</v>
      </c>
      <c r="G9" s="4">
        <v>46150</v>
      </c>
      <c r="H9" s="2" t="s">
        <v>12</v>
      </c>
    </row>
    <row r="10" spans="1:8">
      <c r="A10" s="2" t="s">
        <v>27</v>
      </c>
      <c r="B10" s="2" t="s">
        <v>28</v>
      </c>
      <c r="C10" s="2">
        <v>9876543218.5636292</v>
      </c>
      <c r="D10" s="2" t="s">
        <v>29</v>
      </c>
      <c r="E10" s="2">
        <v>26</v>
      </c>
      <c r="F10" s="3">
        <v>1938.7878787878799</v>
      </c>
      <c r="G10" s="4">
        <v>46089</v>
      </c>
      <c r="H10" s="2" t="s">
        <v>30</v>
      </c>
    </row>
    <row r="11" spans="1:8">
      <c r="A11" s="2" t="s">
        <v>27</v>
      </c>
      <c r="B11" s="2" t="s">
        <v>28</v>
      </c>
      <c r="C11" s="2">
        <v>9876543211</v>
      </c>
      <c r="D11" s="2" t="s">
        <v>29</v>
      </c>
      <c r="E11" s="2">
        <v>29</v>
      </c>
      <c r="F11" s="3">
        <v>2100</v>
      </c>
      <c r="G11" s="4">
        <v>46089</v>
      </c>
      <c r="H11" s="2" t="s">
        <v>30</v>
      </c>
    </row>
    <row r="12" spans="1:8">
      <c r="A12" s="2" t="s">
        <v>31</v>
      </c>
      <c r="B12" s="2" t="s">
        <v>32</v>
      </c>
      <c r="C12" s="2">
        <v>9876543217</v>
      </c>
      <c r="D12" s="2" t="s">
        <v>20</v>
      </c>
      <c r="E12" s="2">
        <v>30</v>
      </c>
      <c r="F12" s="3">
        <v>2750</v>
      </c>
      <c r="G12" s="4">
        <v>46120</v>
      </c>
      <c r="H12" s="2" t="s">
        <v>30</v>
      </c>
    </row>
    <row r="13" spans="1:8">
      <c r="A13" s="2" t="s">
        <v>33</v>
      </c>
      <c r="B13" s="2" t="s">
        <v>34</v>
      </c>
      <c r="C13" s="2">
        <v>9876543215</v>
      </c>
      <c r="D13" s="2" t="s">
        <v>29</v>
      </c>
      <c r="E13" s="2">
        <v>28</v>
      </c>
      <c r="F13" s="3">
        <v>3200</v>
      </c>
      <c r="G13" s="4">
        <v>46030</v>
      </c>
      <c r="H13" s="2" t="s">
        <v>30</v>
      </c>
    </row>
  </sheetData>
  <sortState xmlns:xlrd2="http://schemas.microsoft.com/office/spreadsheetml/2017/richdata2" ref="A3:H13">
    <sortCondition ref="F3:F13"/>
  </sortState>
  <mergeCells count="1">
    <mergeCell ref="A1:H1"/>
  </mergeCells>
  <conditionalFormatting sqref="A2:H2">
    <cfRule type="cellIs" dxfId="10" priority="1" operator="greaterThan">
      <formula>$N$16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006F-EE37-49C0-960E-040F47B0E9C0}">
  <dimension ref="A1:K7"/>
  <sheetViews>
    <sheetView workbookViewId="0">
      <selection activeCell="Q18" sqref="Q18"/>
    </sheetView>
  </sheetViews>
  <sheetFormatPr defaultRowHeight="15"/>
  <cols>
    <col min="1" max="1" width="17.140625" customWidth="1"/>
    <col min="3" max="3" width="17.28515625" customWidth="1"/>
  </cols>
  <sheetData>
    <row r="1" spans="1:11" ht="21">
      <c r="A1" s="6" t="s">
        <v>35</v>
      </c>
      <c r="B1" s="6"/>
      <c r="C1" s="7"/>
      <c r="D1" s="7"/>
      <c r="E1" s="7"/>
      <c r="F1" s="7"/>
      <c r="G1" s="7"/>
      <c r="H1" s="7"/>
      <c r="I1" s="7"/>
      <c r="J1" s="7"/>
      <c r="K1" s="7"/>
    </row>
    <row r="2" spans="1:11">
      <c r="A2" s="11" t="s">
        <v>36</v>
      </c>
      <c r="C2" s="12" t="s">
        <v>37</v>
      </c>
      <c r="D2" s="5"/>
    </row>
    <row r="3" spans="1:11">
      <c r="A3" t="s">
        <v>38</v>
      </c>
      <c r="C3">
        <v>11</v>
      </c>
    </row>
    <row r="4" spans="1:11">
      <c r="A4" t="s">
        <v>39</v>
      </c>
      <c r="C4" s="10">
        <f>SUM(Table1[Customer Name],Table1[Order Amount])</f>
        <v>19235.454545454551</v>
      </c>
    </row>
    <row r="5" spans="1:11">
      <c r="A5" t="s">
        <v>40</v>
      </c>
      <c r="C5">
        <f>COUNTIF(Table1[Status],"Completed")</f>
        <v>6</v>
      </c>
    </row>
    <row r="6" spans="1:11">
      <c r="A6" t="s">
        <v>41</v>
      </c>
      <c r="C6">
        <f>COUNTIF(Table1[Status],"Pending")</f>
        <v>4</v>
      </c>
    </row>
    <row r="7" spans="1:11">
      <c r="A7" t="s">
        <v>42</v>
      </c>
      <c r="C7">
        <f>COUNTIF(Table1[Status],"Cancelled")</f>
        <v>1</v>
      </c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Nishad Afreen</cp:lastModifiedBy>
  <cp:revision/>
  <dcterms:created xsi:type="dcterms:W3CDTF">2026-08-15T09:50:34Z</dcterms:created>
  <dcterms:modified xsi:type="dcterms:W3CDTF">2026-08-15T11:11:30Z</dcterms:modified>
  <cp:category/>
  <cp:contentStatus/>
</cp:coreProperties>
</file>